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ily_Leaderboard" sheetId="2" state="visible" r:id="rId2"/>
    <sheet name="Hourly_Leaderboard" sheetId="3" state="visible" r:id="rId3"/>
    <sheet name="Daily_Detail" sheetId="4" state="visible" r:id="rId4"/>
    <sheet name="Hourly_Detail" sheetId="5" state="visible" r:id="rId5"/>
    <sheet name="Forecast_Table" sheetId="6" state="visible" r:id="rId6"/>
    <sheet name="Metrics_Walkthrough" sheetId="7" state="visible" r:id="rId7"/>
    <sheet name="Pipeline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D4ED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b val="1"/>
      <color rgb="001D4ED8"/>
      <sz val="13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BFDBF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0" pivotButton="0" quotePrefix="0" xfId="0"/>
    <xf numFmtId="0" fontId="3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Time Series Forecasting Assignment — Full Report</t>
        </is>
      </c>
    </row>
    <row r="2">
      <c r="A2" s="2" t="inlineStr"/>
    </row>
    <row r="3">
      <c r="A3" s="3" t="inlineStr">
        <is>
          <t>Dataset</t>
        </is>
      </c>
      <c r="B3" s="2" t="inlineStr">
        <is>
          <t>Complex Multi-Product Order Forecasting (Coconut products)</t>
        </is>
      </c>
    </row>
    <row r="4">
      <c r="A4" s="3" t="inlineStr">
        <is>
          <t>Models</t>
        </is>
      </c>
      <c r="B4" s="2" t="inlineStr">
        <is>
          <t>TimesFM (Google) | Chronos (Amazon) | SARIMAX (Baseline)</t>
        </is>
      </c>
    </row>
    <row r="5">
      <c r="A5" s="3" t="inlineStr">
        <is>
          <t>Granularities</t>
        </is>
      </c>
      <c r="B5" s="2" t="inlineStr">
        <is>
          <t>Daily (full year 2025, horizon=14 days) | Hourly (last 21 days, horizon=24 h)</t>
        </is>
      </c>
    </row>
    <row r="6">
      <c r="A6" s="3" t="inlineStr">
        <is>
          <t>Series</t>
        </is>
      </c>
      <c r="B6" s="2" t="inlineStr">
        <is>
          <t>MCI_P001 … KCI_P004 — 8 series total (2 companies × 4 products)</t>
        </is>
      </c>
    </row>
    <row r="7">
      <c r="A7" s="3" t="inlineStr">
        <is>
          <t>★ MAIN Metric</t>
        </is>
      </c>
      <c r="B7" s="2" t="inlineStr">
        <is>
          <t>WMAPE — Weighted Mean Absolute Percentage Error</t>
        </is>
      </c>
    </row>
    <row r="8">
      <c r="A8" s="3" t="inlineStr">
        <is>
          <t>Secondary</t>
        </is>
      </c>
      <c r="B8" s="2" t="inlineStr">
        <is>
          <t>MAPE — Mean Absolute Percentage Error</t>
        </is>
      </c>
    </row>
    <row r="9">
      <c r="A9" s="2" t="inlineStr"/>
    </row>
    <row r="10">
      <c r="A10" s="3" t="inlineStr">
        <is>
          <t>WMAPE Formula</t>
        </is>
      </c>
      <c r="B10" s="2" t="inlineStr">
        <is>
          <t>Σ|actual − predicted| / Σ actual × 100</t>
        </is>
      </c>
    </row>
    <row r="11">
      <c r="A11" s="3" t="inlineStr">
        <is>
          <t>MAPE Formula</t>
        </is>
      </c>
      <c r="B11" s="2" t="inlineStr">
        <is>
          <t>(1/n) × Σ|actual − predicted| / actual × 100</t>
        </is>
      </c>
    </row>
    <row r="12">
      <c r="A12" s="2" t="inlineStr"/>
    </row>
    <row r="13">
      <c r="A13" s="3" t="inlineStr">
        <is>
          <t>Why WMAPE is main</t>
        </is>
      </c>
      <c r="B13" s="2" t="inlineStr">
        <is>
          <t>1. Volume-weighted → high-demand days drive the score</t>
        </is>
      </c>
    </row>
    <row r="14">
      <c r="A14" s="2" t="inlineStr"/>
      <c r="B14" s="2" t="inlineStr">
        <is>
          <t>2. No undefined/infinite values when actual = 0</t>
        </is>
      </c>
    </row>
    <row r="15">
      <c r="A15" s="2" t="inlineStr"/>
      <c r="B15" s="2" t="inlineStr">
        <is>
          <t>3. Directly = % of total demand mis-forecast</t>
        </is>
      </c>
    </row>
    <row r="16">
      <c r="A16" s="2" t="inlineStr"/>
      <c r="B16" s="2" t="inlineStr">
        <is>
          <t>4. FMCG / supply-chain industry standard</t>
        </is>
      </c>
    </row>
    <row r="17">
      <c r="A17" s="2" t="inlineStr"/>
    </row>
    <row r="18">
      <c r="A18" s="3" t="inlineStr">
        <is>
          <t>Sheets</t>
        </is>
      </c>
      <c r="B18" s="2" t="inlineStr"/>
    </row>
    <row r="19">
      <c r="A19" s="3" t="inlineStr">
        <is>
          <t>Daily_Leaderboard</t>
        </is>
      </c>
      <c r="B19" s="2" t="inlineStr">
        <is>
          <t>Avg WMAPE &amp; MAPE per model — daily</t>
        </is>
      </c>
    </row>
    <row r="20">
      <c r="A20" s="3" t="inlineStr">
        <is>
          <t>Hourly_Leaderboard</t>
        </is>
      </c>
      <c r="B20" s="2" t="inlineStr">
        <is>
          <t>Avg WMAPE &amp; MAPE per model — hourly</t>
        </is>
      </c>
    </row>
    <row r="21">
      <c r="A21" s="3" t="inlineStr">
        <is>
          <t>Daily_Detail</t>
        </is>
      </c>
      <c r="B21" s="2" t="inlineStr">
        <is>
          <t>Per-series per-model detail — daily</t>
        </is>
      </c>
    </row>
    <row r="22">
      <c r="A22" s="3" t="inlineStr">
        <is>
          <t>Hourly_Detail</t>
        </is>
      </c>
      <c r="B22" s="2" t="inlineStr">
        <is>
          <t>Per-series per-model detail — hourly</t>
        </is>
      </c>
    </row>
    <row r="23">
      <c r="A23" s="3" t="inlineStr">
        <is>
          <t>Forecast_Table</t>
        </is>
      </c>
      <c r="B23" s="2" t="inlineStr">
        <is>
          <t>Actual vs predicted for sample series</t>
        </is>
      </c>
    </row>
    <row r="24">
      <c r="A24" s="3" t="inlineStr">
        <is>
          <t>Metrics_Walkthrough</t>
        </is>
      </c>
      <c r="B24" s="2" t="inlineStr">
        <is>
          <t>Step-by-step MAPE &amp; WMAPE calculation</t>
        </is>
      </c>
    </row>
    <row r="25">
      <c r="A25" s="3" t="inlineStr">
        <is>
          <t>Pipeline_Guide</t>
        </is>
      </c>
      <c r="B25" s="2" t="inlineStr">
        <is>
          <t>How TimesFM &amp; Chronos work, inputs &amp; covariates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9" customWidth="1" min="4" max="4"/>
    <col width="9" customWidth="1" min="5" max="5"/>
  </cols>
  <sheetData>
    <row r="1" ht="22" customHeight="1">
      <c r="A1" s="4" t="inlineStr">
        <is>
          <t>Daily Leaderboard — Avg across all Series</t>
        </is>
      </c>
    </row>
    <row r="2">
      <c r="A2" s="5" t="inlineStr">
        <is>
          <t>Model</t>
        </is>
      </c>
      <c r="B2" s="5" t="inlineStr">
        <is>
          <t>WMAPE % ★</t>
        </is>
      </c>
      <c r="C2" s="5" t="inlineStr">
        <is>
          <t>MAPE %</t>
        </is>
      </c>
      <c r="D2" s="5" t="inlineStr">
        <is>
          <t>MAE</t>
        </is>
      </c>
      <c r="E2" s="5" t="inlineStr">
        <is>
          <t>RMSE</t>
        </is>
      </c>
    </row>
    <row r="3">
      <c r="A3" s="6" t="inlineStr">
        <is>
          <t>SARIMAX</t>
        </is>
      </c>
      <c r="B3" s="6" t="n">
        <v>28.39</v>
      </c>
      <c r="C3" s="6" t="n">
        <v>33.32</v>
      </c>
      <c r="D3" s="6" t="n">
        <v>33.82</v>
      </c>
      <c r="E3" s="6" t="n">
        <v>39.01</v>
      </c>
    </row>
    <row r="4">
      <c r="A4" s="7" t="inlineStr">
        <is>
          <t>Chronos</t>
        </is>
      </c>
      <c r="B4" s="7" t="n">
        <v>31.55</v>
      </c>
      <c r="C4" s="7" t="n">
        <v>34.82</v>
      </c>
      <c r="D4" s="7" t="n">
        <v>36.82</v>
      </c>
      <c r="E4" s="7" t="n">
        <v>44.86</v>
      </c>
    </row>
    <row r="5">
      <c r="A5" s="7" t="inlineStr">
        <is>
          <t>TimesFM</t>
        </is>
      </c>
      <c r="B5" s="7" t="n">
        <v>41.24</v>
      </c>
      <c r="C5" s="7" t="n">
        <v>46.92</v>
      </c>
      <c r="D5" s="7" t="n">
        <v>51.65</v>
      </c>
      <c r="E5" s="7" t="n">
        <v>61.05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8" customWidth="1" min="4" max="4"/>
    <col width="8" customWidth="1" min="5" max="5"/>
  </cols>
  <sheetData>
    <row r="1" ht="22" customHeight="1">
      <c r="A1" s="4" t="inlineStr">
        <is>
          <t>Hourly Leaderboard — Avg across all Series</t>
        </is>
      </c>
    </row>
    <row r="2">
      <c r="A2" s="5" t="inlineStr">
        <is>
          <t>Model</t>
        </is>
      </c>
      <c r="B2" s="5" t="inlineStr">
        <is>
          <t>WMAPE % ★</t>
        </is>
      </c>
      <c r="C2" s="5" t="inlineStr">
        <is>
          <t>MAPE %</t>
        </is>
      </c>
      <c r="D2" s="5" t="inlineStr">
        <is>
          <t>MAE</t>
        </is>
      </c>
      <c r="E2" s="5" t="inlineStr">
        <is>
          <t>RMSE</t>
        </is>
      </c>
    </row>
    <row r="3">
      <c r="A3" s="6" t="inlineStr">
        <is>
          <t>SARIMAX</t>
        </is>
      </c>
      <c r="B3" s="6" t="n">
        <v>38.54</v>
      </c>
      <c r="C3" s="6" t="n">
        <v>51.61</v>
      </c>
      <c r="D3" s="6" t="n">
        <v>3.38</v>
      </c>
      <c r="E3" s="6" t="n">
        <v>4.22</v>
      </c>
    </row>
    <row r="4">
      <c r="A4" s="7" t="inlineStr">
        <is>
          <t>Chronos</t>
        </is>
      </c>
      <c r="B4" s="7" t="n">
        <v>46.68</v>
      </c>
      <c r="C4" s="7" t="n">
        <v>87.27</v>
      </c>
      <c r="D4" s="7" t="n">
        <v>4.14</v>
      </c>
      <c r="E4" s="7" t="n">
        <v>4.99</v>
      </c>
    </row>
    <row r="5">
      <c r="A5" s="7" t="inlineStr">
        <is>
          <t>TimesFM</t>
        </is>
      </c>
      <c r="B5" s="7" t="n">
        <v>74.92</v>
      </c>
      <c r="C5" s="7" t="n">
        <v>76.27</v>
      </c>
      <c r="D5" s="7" t="n">
        <v>6.63</v>
      </c>
      <c r="E5" s="7" t="n">
        <v>8.06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3" customWidth="1" min="3" max="3"/>
    <col width="11" customWidth="1" min="4" max="4"/>
    <col width="12" customWidth="1" min="5" max="5"/>
    <col width="12" customWidth="1" min="6" max="6"/>
  </cols>
  <sheetData>
    <row r="1">
      <c r="A1" s="4" t="inlineStr">
        <is>
          <t>Per-Series Detail — Daily</t>
        </is>
      </c>
    </row>
    <row r="2">
      <c r="A2" s="5" t="inlineStr">
        <is>
          <t>Series</t>
        </is>
      </c>
      <c r="B2" s="5" t="inlineStr">
        <is>
          <t>Model</t>
        </is>
      </c>
      <c r="C2" s="5" t="inlineStr">
        <is>
          <t>WMAPE % ★</t>
        </is>
      </c>
      <c r="D2" s="5" t="inlineStr">
        <is>
          <t>MAPE %</t>
        </is>
      </c>
      <c r="E2" s="5" t="inlineStr">
        <is>
          <t>MAE</t>
        </is>
      </c>
      <c r="F2" s="5" t="inlineStr">
        <is>
          <t>RMSE</t>
        </is>
      </c>
    </row>
    <row r="3">
      <c r="A3" s="7" t="inlineStr">
        <is>
          <t>KCI_P001</t>
        </is>
      </c>
      <c r="B3" s="7" t="inlineStr">
        <is>
          <t>SARIMAX</t>
        </is>
      </c>
      <c r="C3" s="7" t="n">
        <v>28.2598</v>
      </c>
      <c r="D3" s="7" t="n">
        <v>31.5766</v>
      </c>
      <c r="E3" s="7" t="n">
        <v>40.3307</v>
      </c>
      <c r="F3" s="7" t="n">
        <v>42.7194</v>
      </c>
    </row>
    <row r="4">
      <c r="A4" s="7" t="inlineStr">
        <is>
          <t>KCI_P001</t>
        </is>
      </c>
      <c r="B4" s="7" t="inlineStr">
        <is>
          <t>TimesFM</t>
        </is>
      </c>
      <c r="C4" s="7" t="n">
        <v>29.0849</v>
      </c>
      <c r="D4" s="7" t="n">
        <v>33.3161</v>
      </c>
      <c r="E4" s="7" t="n">
        <v>41.5083</v>
      </c>
      <c r="F4" s="7" t="n">
        <v>46.6278</v>
      </c>
    </row>
    <row r="5">
      <c r="A5" s="7" t="inlineStr">
        <is>
          <t>KCI_P001</t>
        </is>
      </c>
      <c r="B5" s="7" t="inlineStr">
        <is>
          <t>Chronos</t>
        </is>
      </c>
      <c r="C5" s="7" t="n">
        <v>30.6047</v>
      </c>
      <c r="D5" s="7" t="n">
        <v>39.3266</v>
      </c>
      <c r="E5" s="7" t="n">
        <v>43.6773</v>
      </c>
      <c r="F5" s="7" t="n">
        <v>51.3292</v>
      </c>
    </row>
    <row r="6">
      <c r="A6" s="7" t="inlineStr">
        <is>
          <t>KCI_P002</t>
        </is>
      </c>
      <c r="B6" s="7" t="inlineStr">
        <is>
          <t>SARIMAX</t>
        </is>
      </c>
      <c r="C6" s="7" t="n">
        <v>23.7963</v>
      </c>
      <c r="D6" s="7" t="n">
        <v>27.6678</v>
      </c>
      <c r="E6" s="7" t="n">
        <v>27.5527</v>
      </c>
      <c r="F6" s="7" t="n">
        <v>34.726</v>
      </c>
    </row>
    <row r="7">
      <c r="A7" s="7" t="inlineStr">
        <is>
          <t>KCI_P002</t>
        </is>
      </c>
      <c r="B7" s="7" t="inlineStr">
        <is>
          <t>Chronos</t>
        </is>
      </c>
      <c r="C7" s="7" t="n">
        <v>30.2134</v>
      </c>
      <c r="D7" s="7" t="n">
        <v>33.0442</v>
      </c>
      <c r="E7" s="7" t="n">
        <v>34.9828</v>
      </c>
      <c r="F7" s="7" t="n">
        <v>42.4532</v>
      </c>
    </row>
    <row r="8">
      <c r="A8" s="7" t="inlineStr">
        <is>
          <t>KCI_P002</t>
        </is>
      </c>
      <c r="B8" s="7" t="inlineStr">
        <is>
          <t>TimesFM</t>
        </is>
      </c>
      <c r="C8" s="7" t="n">
        <v>32.4851</v>
      </c>
      <c r="D8" s="7" t="n">
        <v>33.9545</v>
      </c>
      <c r="E8" s="7" t="n">
        <v>37.6131</v>
      </c>
      <c r="F8" s="7" t="n">
        <v>47.7244</v>
      </c>
    </row>
    <row r="9">
      <c r="A9" s="7" t="inlineStr">
        <is>
          <t>KCI_P003</t>
        </is>
      </c>
      <c r="B9" s="7" t="inlineStr">
        <is>
          <t>SARIMAX</t>
        </is>
      </c>
      <c r="C9" s="7" t="n">
        <v>29.3829</v>
      </c>
      <c r="D9" s="7" t="n">
        <v>38.653</v>
      </c>
      <c r="E9" s="7" t="n">
        <v>16.5174</v>
      </c>
      <c r="F9" s="7" t="n">
        <v>21.0237</v>
      </c>
    </row>
    <row r="10">
      <c r="A10" s="7" t="inlineStr">
        <is>
          <t>KCI_P003</t>
        </is>
      </c>
      <c r="B10" s="7" t="inlineStr">
        <is>
          <t>TimesFM</t>
        </is>
      </c>
      <c r="C10" s="7" t="n">
        <v>34.7866</v>
      </c>
      <c r="D10" s="7" t="n">
        <v>32.3358</v>
      </c>
      <c r="E10" s="7" t="n">
        <v>19.555</v>
      </c>
      <c r="F10" s="7" t="n">
        <v>27.3291</v>
      </c>
    </row>
    <row r="11">
      <c r="A11" s="7" t="inlineStr">
        <is>
          <t>KCI_P003</t>
        </is>
      </c>
      <c r="B11" s="7" t="inlineStr">
        <is>
          <t>Chronos</t>
        </is>
      </c>
      <c r="C11" s="7" t="n">
        <v>36.826</v>
      </c>
      <c r="D11" s="7" t="n">
        <v>38.9494</v>
      </c>
      <c r="E11" s="7" t="n">
        <v>20.7014</v>
      </c>
      <c r="F11" s="7" t="n">
        <v>29.6705</v>
      </c>
    </row>
    <row r="12">
      <c r="A12" s="7" t="inlineStr">
        <is>
          <t>KCI_P004</t>
        </is>
      </c>
      <c r="B12" s="7" t="inlineStr">
        <is>
          <t>SARIMAX</t>
        </is>
      </c>
      <c r="C12" s="7" t="n">
        <v>35.8043</v>
      </c>
      <c r="D12" s="7" t="n">
        <v>47.4086</v>
      </c>
      <c r="E12" s="7" t="n">
        <v>42.4537</v>
      </c>
      <c r="F12" s="7" t="n">
        <v>45.8606</v>
      </c>
    </row>
    <row r="13">
      <c r="A13" s="7" t="inlineStr">
        <is>
          <t>KCI_P004</t>
        </is>
      </c>
      <c r="B13" s="7" t="inlineStr">
        <is>
          <t>TimesFM</t>
        </is>
      </c>
      <c r="C13" s="7" t="n">
        <v>37.183</v>
      </c>
      <c r="D13" s="7" t="n">
        <v>46.8558</v>
      </c>
      <c r="E13" s="7" t="n">
        <v>44.0884</v>
      </c>
      <c r="F13" s="7" t="n">
        <v>50.884</v>
      </c>
    </row>
    <row r="14">
      <c r="A14" s="7" t="inlineStr">
        <is>
          <t>KCI_P004</t>
        </is>
      </c>
      <c r="B14" s="7" t="inlineStr">
        <is>
          <t>Chronos</t>
        </is>
      </c>
      <c r="C14" s="7" t="n">
        <v>39.4287</v>
      </c>
      <c r="D14" s="7" t="n">
        <v>40.9471</v>
      </c>
      <c r="E14" s="7" t="n">
        <v>46.7512</v>
      </c>
      <c r="F14" s="7" t="n">
        <v>55.3866</v>
      </c>
    </row>
    <row r="15">
      <c r="A15" s="7" t="inlineStr">
        <is>
          <t>MCI_P001</t>
        </is>
      </c>
      <c r="B15" s="7" t="inlineStr">
        <is>
          <t>SARIMAX</t>
        </is>
      </c>
      <c r="C15" s="7" t="n">
        <v>30.161</v>
      </c>
      <c r="D15" s="7" t="n">
        <v>34.4053</v>
      </c>
      <c r="E15" s="7" t="n">
        <v>49.8303</v>
      </c>
      <c r="F15" s="7" t="n">
        <v>59.6894</v>
      </c>
    </row>
    <row r="16">
      <c r="A16" s="7" t="inlineStr">
        <is>
          <t>MCI_P001</t>
        </is>
      </c>
      <c r="B16" s="7" t="inlineStr">
        <is>
          <t>Chronos</t>
        </is>
      </c>
      <c r="C16" s="7" t="n">
        <v>35.953</v>
      </c>
      <c r="D16" s="7" t="n">
        <v>48.3654</v>
      </c>
      <c r="E16" s="7" t="n">
        <v>59.3995</v>
      </c>
      <c r="F16" s="7" t="n">
        <v>71.2769</v>
      </c>
    </row>
    <row r="17">
      <c r="A17" s="7" t="inlineStr">
        <is>
          <t>MCI_P001</t>
        </is>
      </c>
      <c r="B17" s="7" t="inlineStr">
        <is>
          <t>TimesFM</t>
        </is>
      </c>
      <c r="C17" s="7" t="n">
        <v>62.5198</v>
      </c>
      <c r="D17" s="7" t="n">
        <v>79.4956</v>
      </c>
      <c r="E17" s="7" t="n">
        <v>103.2917</v>
      </c>
      <c r="F17" s="7" t="n">
        <v>114.6982</v>
      </c>
    </row>
    <row r="18">
      <c r="A18" s="7" t="inlineStr">
        <is>
          <t>MCI_P002</t>
        </is>
      </c>
      <c r="B18" s="7" t="inlineStr">
        <is>
          <t>Chronos</t>
        </is>
      </c>
      <c r="C18" s="7" t="n">
        <v>17.2246</v>
      </c>
      <c r="D18" s="7" t="n">
        <v>18.8058</v>
      </c>
      <c r="E18" s="7" t="n">
        <v>24.951</v>
      </c>
      <c r="F18" s="7" t="n">
        <v>30.9086</v>
      </c>
    </row>
    <row r="19">
      <c r="A19" s="7" t="inlineStr">
        <is>
          <t>MCI_P002</t>
        </is>
      </c>
      <c r="B19" s="7" t="inlineStr">
        <is>
          <t>SARIMAX</t>
        </is>
      </c>
      <c r="C19" s="7" t="n">
        <v>19.0178</v>
      </c>
      <c r="D19" s="7" t="n">
        <v>19.7203</v>
      </c>
      <c r="E19" s="7" t="n">
        <v>27.5486</v>
      </c>
      <c r="F19" s="7" t="n">
        <v>31.365</v>
      </c>
    </row>
    <row r="20">
      <c r="A20" s="7" t="inlineStr">
        <is>
          <t>MCI_P002</t>
        </is>
      </c>
      <c r="B20" s="7" t="inlineStr">
        <is>
          <t>TimesFM</t>
        </is>
      </c>
      <c r="C20" s="7" t="n">
        <v>60.8119</v>
      </c>
      <c r="D20" s="7" t="n">
        <v>69.7983</v>
      </c>
      <c r="E20" s="7" t="n">
        <v>88.0904</v>
      </c>
      <c r="F20" s="7" t="n">
        <v>101.1451</v>
      </c>
    </row>
    <row r="21">
      <c r="A21" s="7" t="inlineStr">
        <is>
          <t>MCI_P003</t>
        </is>
      </c>
      <c r="B21" s="7" t="inlineStr">
        <is>
          <t>SARIMAX</t>
        </is>
      </c>
      <c r="C21" s="7" t="n">
        <v>29.9066</v>
      </c>
      <c r="D21" s="7" t="n">
        <v>34.8939</v>
      </c>
      <c r="E21" s="7" t="n">
        <v>19.5247</v>
      </c>
      <c r="F21" s="7" t="n">
        <v>25.2918</v>
      </c>
    </row>
    <row r="22">
      <c r="A22" s="7" t="inlineStr">
        <is>
          <t>MCI_P003</t>
        </is>
      </c>
      <c r="B22" s="7" t="inlineStr">
        <is>
          <t>Chronos</t>
        </is>
      </c>
      <c r="C22" s="7" t="n">
        <v>35.0257</v>
      </c>
      <c r="D22" s="7" t="n">
        <v>33.5263</v>
      </c>
      <c r="E22" s="7" t="n">
        <v>22.8668</v>
      </c>
      <c r="F22" s="7" t="n">
        <v>27.159</v>
      </c>
    </row>
    <row r="23">
      <c r="A23" s="7" t="inlineStr">
        <is>
          <t>MCI_P003</t>
        </is>
      </c>
      <c r="B23" s="7" t="inlineStr">
        <is>
          <t>TimesFM</t>
        </is>
      </c>
      <c r="C23" s="7" t="n">
        <v>36.7834</v>
      </c>
      <c r="D23" s="7" t="n">
        <v>33.5362</v>
      </c>
      <c r="E23" s="7" t="n">
        <v>24.0143</v>
      </c>
      <c r="F23" s="7" t="n">
        <v>29.953</v>
      </c>
    </row>
    <row r="24">
      <c r="A24" s="7" t="inlineStr">
        <is>
          <t>MCI_P004</t>
        </is>
      </c>
      <c r="B24" s="7" t="inlineStr">
        <is>
          <t>Chronos</t>
        </is>
      </c>
      <c r="C24" s="7" t="n">
        <v>27.1418</v>
      </c>
      <c r="D24" s="7" t="n">
        <v>25.5872</v>
      </c>
      <c r="E24" s="7" t="n">
        <v>41.2362</v>
      </c>
      <c r="F24" s="7" t="n">
        <v>50.7105</v>
      </c>
    </row>
    <row r="25">
      <c r="A25" s="7" t="inlineStr">
        <is>
          <t>MCI_P004</t>
        </is>
      </c>
      <c r="B25" s="7" t="inlineStr">
        <is>
          <t>SARIMAX</t>
        </is>
      </c>
      <c r="C25" s="7" t="n">
        <v>30.8301</v>
      </c>
      <c r="D25" s="7" t="n">
        <v>32.2529</v>
      </c>
      <c r="E25" s="7" t="n">
        <v>46.8398</v>
      </c>
      <c r="F25" s="7" t="n">
        <v>51.3908</v>
      </c>
    </row>
    <row r="26">
      <c r="A26" s="7" t="inlineStr">
        <is>
          <t>MCI_P004</t>
        </is>
      </c>
      <c r="B26" s="7" t="inlineStr">
        <is>
          <t>TimesFM</t>
        </is>
      </c>
      <c r="C26" s="7" t="n">
        <v>36.2398</v>
      </c>
      <c r="D26" s="7" t="n">
        <v>46.0343</v>
      </c>
      <c r="E26" s="7" t="n">
        <v>55.0586</v>
      </c>
      <c r="F26" s="7" t="n">
        <v>70.0286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2" customWidth="1" min="4" max="4"/>
    <col width="10" customWidth="1" min="5" max="5"/>
    <col width="11" customWidth="1" min="6" max="6"/>
  </cols>
  <sheetData>
    <row r="1">
      <c r="A1" s="4" t="inlineStr">
        <is>
          <t>Per-Series Detail — Hourly</t>
        </is>
      </c>
    </row>
    <row r="2">
      <c r="A2" s="5" t="inlineStr">
        <is>
          <t>Series</t>
        </is>
      </c>
      <c r="B2" s="5" t="inlineStr">
        <is>
          <t>Model</t>
        </is>
      </c>
      <c r="C2" s="5" t="inlineStr">
        <is>
          <t>WMAPE % ★</t>
        </is>
      </c>
      <c r="D2" s="5" t="inlineStr">
        <is>
          <t>MAPE %</t>
        </is>
      </c>
      <c r="E2" s="5" t="inlineStr">
        <is>
          <t>MAE</t>
        </is>
      </c>
      <c r="F2" s="5" t="inlineStr">
        <is>
          <t>RMSE</t>
        </is>
      </c>
    </row>
    <row r="3">
      <c r="A3" s="7" t="inlineStr">
        <is>
          <t>KCI_P001</t>
        </is>
      </c>
      <c r="B3" s="7" t="inlineStr">
        <is>
          <t>SARIMAX</t>
        </is>
      </c>
      <c r="C3" s="7" t="n">
        <v>29.2608</v>
      </c>
      <c r="D3" s="7" t="n">
        <v>27.8321</v>
      </c>
      <c r="E3" s="7" t="n">
        <v>3.5966</v>
      </c>
      <c r="F3" s="7" t="n">
        <v>4.6723</v>
      </c>
    </row>
    <row r="4">
      <c r="A4" s="7" t="inlineStr">
        <is>
          <t>KCI_P001</t>
        </is>
      </c>
      <c r="B4" s="7" t="inlineStr">
        <is>
          <t>Chronos</t>
        </is>
      </c>
      <c r="C4" s="7" t="n">
        <v>35.7423</v>
      </c>
      <c r="D4" s="7" t="n">
        <v>48.7423</v>
      </c>
      <c r="E4" s="7" t="n">
        <v>4.3933</v>
      </c>
      <c r="F4" s="7" t="n">
        <v>5.6331</v>
      </c>
    </row>
    <row r="5">
      <c r="A5" s="7" t="inlineStr">
        <is>
          <t>KCI_P001</t>
        </is>
      </c>
      <c r="B5" s="7" t="inlineStr">
        <is>
          <t>TimesFM</t>
        </is>
      </c>
      <c r="C5" s="7" t="n">
        <v>76.099</v>
      </c>
      <c r="D5" s="7" t="n">
        <v>70.0206</v>
      </c>
      <c r="E5" s="7" t="n">
        <v>9.3538</v>
      </c>
      <c r="F5" s="7" t="n">
        <v>11.1417</v>
      </c>
    </row>
    <row r="6">
      <c r="A6" s="7" t="inlineStr">
        <is>
          <t>KCI_P002</t>
        </is>
      </c>
      <c r="B6" s="7" t="inlineStr">
        <is>
          <t>SARIMAX</t>
        </is>
      </c>
      <c r="C6" s="7" t="n">
        <v>33.5935</v>
      </c>
      <c r="D6" s="7" t="n">
        <v>44.5788</v>
      </c>
      <c r="E6" s="7" t="n">
        <v>3.1214</v>
      </c>
      <c r="F6" s="7" t="n">
        <v>4.1085</v>
      </c>
    </row>
    <row r="7">
      <c r="A7" s="7" t="inlineStr">
        <is>
          <t>KCI_P002</t>
        </is>
      </c>
      <c r="B7" s="7" t="inlineStr">
        <is>
          <t>Chronos</t>
        </is>
      </c>
      <c r="C7" s="7" t="n">
        <v>42.3901</v>
      </c>
      <c r="D7" s="7" t="n">
        <v>129.3489</v>
      </c>
      <c r="E7" s="7" t="n">
        <v>3.9387</v>
      </c>
      <c r="F7" s="7" t="n">
        <v>4.9849</v>
      </c>
    </row>
    <row r="8">
      <c r="A8" s="7" t="inlineStr">
        <is>
          <t>KCI_P002</t>
        </is>
      </c>
      <c r="B8" s="7" t="inlineStr">
        <is>
          <t>TimesFM</t>
        </is>
      </c>
      <c r="C8" s="7" t="n">
        <v>69.0868</v>
      </c>
      <c r="D8" s="7" t="n">
        <v>62.6114</v>
      </c>
      <c r="E8" s="7" t="n">
        <v>6.4193</v>
      </c>
      <c r="F8" s="7" t="n">
        <v>8.0885</v>
      </c>
    </row>
    <row r="9">
      <c r="A9" s="7" t="inlineStr">
        <is>
          <t>KCI_P003</t>
        </is>
      </c>
      <c r="B9" s="7" t="inlineStr">
        <is>
          <t>SARIMAX</t>
        </is>
      </c>
      <c r="C9" s="7" t="n">
        <v>47.1119</v>
      </c>
      <c r="D9" s="7" t="n">
        <v>76.01560000000001</v>
      </c>
      <c r="E9" s="7" t="n">
        <v>2.12</v>
      </c>
      <c r="F9" s="7" t="n">
        <v>2.753</v>
      </c>
    </row>
    <row r="10">
      <c r="A10" s="7" t="inlineStr">
        <is>
          <t>KCI_P003</t>
        </is>
      </c>
      <c r="B10" s="7" t="inlineStr">
        <is>
          <t>Chronos</t>
        </is>
      </c>
      <c r="C10" s="7" t="n">
        <v>54.8562</v>
      </c>
      <c r="D10" s="7" t="n">
        <v>85.41330000000001</v>
      </c>
      <c r="E10" s="7" t="n">
        <v>2.4685</v>
      </c>
      <c r="F10" s="7" t="n">
        <v>2.9782</v>
      </c>
    </row>
    <row r="11">
      <c r="A11" s="7" t="inlineStr">
        <is>
          <t>KCI_P003</t>
        </is>
      </c>
      <c r="B11" s="7" t="inlineStr">
        <is>
          <t>TimesFM</t>
        </is>
      </c>
      <c r="C11" s="7" t="n">
        <v>79.6703</v>
      </c>
      <c r="D11" s="7" t="n">
        <v>68.6185</v>
      </c>
      <c r="E11" s="7" t="n">
        <v>3.5852</v>
      </c>
      <c r="F11" s="7" t="n">
        <v>4.5148</v>
      </c>
    </row>
    <row r="12">
      <c r="A12" s="7" t="inlineStr">
        <is>
          <t>KCI_P004</t>
        </is>
      </c>
      <c r="B12" s="7" t="inlineStr">
        <is>
          <t>SARIMAX</t>
        </is>
      </c>
      <c r="C12" s="7" t="n">
        <v>33.3597</v>
      </c>
      <c r="D12" s="7" t="n">
        <v>50.664</v>
      </c>
      <c r="E12" s="7" t="n">
        <v>2.641</v>
      </c>
      <c r="F12" s="7" t="n">
        <v>3.0675</v>
      </c>
    </row>
    <row r="13">
      <c r="A13" s="7" t="inlineStr">
        <is>
          <t>KCI_P004</t>
        </is>
      </c>
      <c r="B13" s="7" t="inlineStr">
        <is>
          <t>Chronos</t>
        </is>
      </c>
      <c r="C13" s="7" t="n">
        <v>52.4335</v>
      </c>
      <c r="D13" s="7" t="n">
        <v>124.5589</v>
      </c>
      <c r="E13" s="7" t="n">
        <v>4.151</v>
      </c>
      <c r="F13" s="7" t="n">
        <v>4.573</v>
      </c>
    </row>
    <row r="14">
      <c r="A14" s="7" t="inlineStr">
        <is>
          <t>KCI_P004</t>
        </is>
      </c>
      <c r="B14" s="7" t="inlineStr">
        <is>
          <t>TimesFM</t>
        </is>
      </c>
      <c r="C14" s="7" t="n">
        <v>77.8725</v>
      </c>
      <c r="D14" s="7" t="n">
        <v>108.6775</v>
      </c>
      <c r="E14" s="7" t="n">
        <v>6.1649</v>
      </c>
      <c r="F14" s="7" t="n">
        <v>7.0752</v>
      </c>
    </row>
    <row r="15">
      <c r="A15" s="7" t="inlineStr">
        <is>
          <t>MCI_P001</t>
        </is>
      </c>
      <c r="B15" s="7" t="inlineStr">
        <is>
          <t>SARIMAX</t>
        </is>
      </c>
      <c r="C15" s="7" t="n">
        <v>40.668</v>
      </c>
      <c r="D15" s="7" t="n">
        <v>52.5268</v>
      </c>
      <c r="E15" s="7" t="n">
        <v>5.3885</v>
      </c>
      <c r="F15" s="7" t="n">
        <v>6.4987</v>
      </c>
    </row>
    <row r="16">
      <c r="A16" s="7" t="inlineStr">
        <is>
          <t>MCI_P001</t>
        </is>
      </c>
      <c r="B16" s="7" t="inlineStr">
        <is>
          <t>Chronos</t>
        </is>
      </c>
      <c r="C16" s="7" t="n">
        <v>47.3379</v>
      </c>
      <c r="D16" s="7" t="n">
        <v>77.3369</v>
      </c>
      <c r="E16" s="7" t="n">
        <v>6.2723</v>
      </c>
      <c r="F16" s="7" t="n">
        <v>7.3531</v>
      </c>
    </row>
    <row r="17">
      <c r="A17" s="7" t="inlineStr">
        <is>
          <t>MCI_P001</t>
        </is>
      </c>
      <c r="B17" s="7" t="inlineStr">
        <is>
          <t>TimesFM</t>
        </is>
      </c>
      <c r="C17" s="7" t="n">
        <v>66.48779999999999</v>
      </c>
      <c r="D17" s="7" t="n">
        <v>66.63800000000001</v>
      </c>
      <c r="E17" s="7" t="n">
        <v>8.8096</v>
      </c>
      <c r="F17" s="7" t="n">
        <v>11.1161</v>
      </c>
    </row>
    <row r="18">
      <c r="A18" s="7" t="inlineStr">
        <is>
          <t>MCI_P002</t>
        </is>
      </c>
      <c r="B18" s="7" t="inlineStr">
        <is>
          <t>SARIMAX</t>
        </is>
      </c>
      <c r="C18" s="7" t="n">
        <v>42.007</v>
      </c>
      <c r="D18" s="7" t="n">
        <v>58.4345</v>
      </c>
      <c r="E18" s="7" t="n">
        <v>4.1482</v>
      </c>
      <c r="F18" s="7" t="n">
        <v>4.9589</v>
      </c>
    </row>
    <row r="19">
      <c r="A19" s="7" t="inlineStr">
        <is>
          <t>MCI_P002</t>
        </is>
      </c>
      <c r="B19" s="7" t="inlineStr">
        <is>
          <t>Chronos</t>
        </is>
      </c>
      <c r="C19" s="7" t="n">
        <v>49.3821</v>
      </c>
      <c r="D19" s="7" t="n">
        <v>76.7914</v>
      </c>
      <c r="E19" s="7" t="n">
        <v>4.8765</v>
      </c>
      <c r="F19" s="7" t="n">
        <v>6.145</v>
      </c>
    </row>
    <row r="20">
      <c r="A20" s="7" t="inlineStr">
        <is>
          <t>MCI_P002</t>
        </is>
      </c>
      <c r="B20" s="7" t="inlineStr">
        <is>
          <t>TimesFM</t>
        </is>
      </c>
      <c r="C20" s="7" t="n">
        <v>73.7739</v>
      </c>
      <c r="D20" s="7" t="n">
        <v>74.6134</v>
      </c>
      <c r="E20" s="7" t="n">
        <v>7.2852</v>
      </c>
      <c r="F20" s="7" t="n">
        <v>8.920400000000001</v>
      </c>
    </row>
    <row r="21">
      <c r="A21" s="7" t="inlineStr">
        <is>
          <t>MCI_P003</t>
        </is>
      </c>
      <c r="B21" s="7" t="inlineStr">
        <is>
          <t>Chronos</t>
        </is>
      </c>
      <c r="C21" s="7" t="n">
        <v>44.303</v>
      </c>
      <c r="D21" s="7" t="n">
        <v>62.5224</v>
      </c>
      <c r="E21" s="7" t="n">
        <v>2.2336</v>
      </c>
      <c r="F21" s="7" t="n">
        <v>2.6891</v>
      </c>
    </row>
    <row r="22">
      <c r="A22" s="7" t="inlineStr">
        <is>
          <t>MCI_P003</t>
        </is>
      </c>
      <c r="B22" s="7" t="inlineStr">
        <is>
          <t>SARIMAX</t>
        </is>
      </c>
      <c r="C22" s="7" t="n">
        <v>45.4785</v>
      </c>
      <c r="D22" s="7" t="n">
        <v>48.7935</v>
      </c>
      <c r="E22" s="7" t="n">
        <v>2.2929</v>
      </c>
      <c r="F22" s="7" t="n">
        <v>2.9143</v>
      </c>
    </row>
    <row r="23">
      <c r="A23" s="7" t="inlineStr">
        <is>
          <t>MCI_P003</t>
        </is>
      </c>
      <c r="B23" s="7" t="inlineStr">
        <is>
          <t>TimesFM</t>
        </is>
      </c>
      <c r="C23" s="7" t="n">
        <v>87.4449</v>
      </c>
      <c r="D23" s="7" t="n">
        <v>82.5206</v>
      </c>
      <c r="E23" s="7" t="n">
        <v>4.4087</v>
      </c>
      <c r="F23" s="7" t="n">
        <v>5.3191</v>
      </c>
    </row>
    <row r="24">
      <c r="A24" s="7" t="inlineStr">
        <is>
          <t>MCI_P004</t>
        </is>
      </c>
      <c r="B24" s="7" t="inlineStr">
        <is>
          <t>SARIMAX</t>
        </is>
      </c>
      <c r="C24" s="7" t="n">
        <v>36.8476</v>
      </c>
      <c r="D24" s="7" t="n">
        <v>54.0363</v>
      </c>
      <c r="E24" s="7" t="n">
        <v>3.7308</v>
      </c>
      <c r="F24" s="7" t="n">
        <v>4.7914</v>
      </c>
    </row>
    <row r="25">
      <c r="A25" s="7" t="inlineStr">
        <is>
          <t>MCI_P004</t>
        </is>
      </c>
      <c r="B25" s="7" t="inlineStr">
        <is>
          <t>Chronos</t>
        </is>
      </c>
      <c r="C25" s="7" t="n">
        <v>46.9662</v>
      </c>
      <c r="D25" s="7" t="n">
        <v>93.4376</v>
      </c>
      <c r="E25" s="7" t="n">
        <v>4.7553</v>
      </c>
      <c r="F25" s="7" t="n">
        <v>5.5919</v>
      </c>
    </row>
    <row r="26">
      <c r="A26" s="7" t="inlineStr">
        <is>
          <t>MCI_P004</t>
        </is>
      </c>
      <c r="B26" s="7" t="inlineStr">
        <is>
          <t>TimesFM</t>
        </is>
      </c>
      <c r="C26" s="7" t="n">
        <v>68.96120000000001</v>
      </c>
      <c r="D26" s="7" t="n">
        <v>76.4218</v>
      </c>
      <c r="E26" s="7" t="n">
        <v>6.9823</v>
      </c>
      <c r="F26" s="7" t="n">
        <v>8.3088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7" customWidth="1" min="4" max="4"/>
    <col width="16" customWidth="1" min="5" max="5"/>
    <col width="17" customWidth="1" min="6" max="6"/>
    <col width="16" customWidth="1" min="7" max="7"/>
    <col width="17" customWidth="1" min="8" max="8"/>
    <col width="4" customWidth="1" min="9" max="9"/>
  </cols>
  <sheetData>
    <row r="1">
      <c r="A1" s="4" t="inlineStr">
        <is>
          <t>Forecast Table — KCI_P001 (Daily, horizon=14 steps)</t>
        </is>
      </c>
    </row>
    <row r="2">
      <c r="A2" s="5" t="inlineStr">
        <is>
          <t>Step</t>
        </is>
      </c>
      <c r="B2" s="5" t="inlineStr">
        <is>
          <t>Actual</t>
        </is>
      </c>
      <c r="C2" s="5" t="inlineStr">
        <is>
          <t>TimesFM Pred</t>
        </is>
      </c>
      <c r="D2" s="5" t="inlineStr">
        <is>
          <t>TimesFM |Err|</t>
        </is>
      </c>
      <c r="E2" s="5" t="inlineStr">
        <is>
          <t>Chronos Pred</t>
        </is>
      </c>
      <c r="F2" s="5" t="inlineStr">
        <is>
          <t>Chronos |Err|</t>
        </is>
      </c>
      <c r="G2" s="5" t="inlineStr">
        <is>
          <t>SARIMAX Pred</t>
        </is>
      </c>
      <c r="H2" s="5" t="inlineStr">
        <is>
          <t>SARIMAX |Err|</t>
        </is>
      </c>
    </row>
    <row r="3">
      <c r="A3" s="7" t="n">
        <v>1</v>
      </c>
      <c r="B3" s="7" t="n">
        <v>109</v>
      </c>
      <c r="C3" s="7" t="n">
        <v>146.4</v>
      </c>
      <c r="D3" s="7" t="n">
        <v>37.4</v>
      </c>
      <c r="E3" s="7" t="n">
        <v>158.4</v>
      </c>
      <c r="F3" s="7" t="n">
        <v>49.4</v>
      </c>
      <c r="G3" s="7" t="n">
        <v>135.2</v>
      </c>
      <c r="H3" s="7" t="n">
        <v>26.2</v>
      </c>
    </row>
    <row r="4">
      <c r="A4" s="7" t="n">
        <v>2</v>
      </c>
      <c r="B4" s="7" t="n">
        <v>108</v>
      </c>
      <c r="C4" s="7" t="n">
        <v>145.4</v>
      </c>
      <c r="D4" s="7" t="n">
        <v>37.4</v>
      </c>
      <c r="E4" s="7" t="n">
        <v>159.1</v>
      </c>
      <c r="F4" s="7" t="n">
        <v>51.1</v>
      </c>
      <c r="G4" s="7" t="n">
        <v>139.1</v>
      </c>
      <c r="H4" s="7" t="n">
        <v>31.1</v>
      </c>
    </row>
    <row r="5">
      <c r="A5" s="7" t="n">
        <v>3</v>
      </c>
      <c r="B5" s="7" t="n">
        <v>203</v>
      </c>
      <c r="C5" s="7" t="n">
        <v>153.8</v>
      </c>
      <c r="D5" s="7" t="n">
        <v>49.2</v>
      </c>
      <c r="E5" s="7" t="n">
        <v>159.1</v>
      </c>
      <c r="F5" s="7" t="n">
        <v>43.9</v>
      </c>
      <c r="G5" s="7" t="n">
        <v>161.2</v>
      </c>
      <c r="H5" s="7" t="n">
        <v>41.8</v>
      </c>
    </row>
    <row r="6">
      <c r="A6" s="7" t="n">
        <v>4</v>
      </c>
      <c r="B6" s="7" t="n">
        <v>103</v>
      </c>
      <c r="C6" s="7" t="n">
        <v>155.3</v>
      </c>
      <c r="D6" s="7" t="n">
        <v>52.3</v>
      </c>
      <c r="E6" s="7" t="n">
        <v>160.2</v>
      </c>
      <c r="F6" s="7" t="n">
        <v>57.2</v>
      </c>
      <c r="G6" s="7" t="n">
        <v>146.4</v>
      </c>
      <c r="H6" s="7" t="n">
        <v>43.4</v>
      </c>
    </row>
    <row r="7">
      <c r="A7" s="7" t="n">
        <v>5</v>
      </c>
      <c r="B7" s="7" t="n">
        <v>184</v>
      </c>
      <c r="C7" s="7" t="n">
        <v>142.1</v>
      </c>
      <c r="D7" s="7" t="n">
        <v>41.9</v>
      </c>
      <c r="E7" s="7" t="n">
        <v>160.1</v>
      </c>
      <c r="F7" s="7" t="n">
        <v>23.9</v>
      </c>
      <c r="G7" s="7" t="n">
        <v>120</v>
      </c>
      <c r="H7" s="7" t="n">
        <v>64</v>
      </c>
    </row>
    <row r="8">
      <c r="A8" s="7" t="n">
        <v>6</v>
      </c>
      <c r="B8" s="7" t="n">
        <v>179</v>
      </c>
      <c r="C8" s="7" t="n">
        <v>140.4</v>
      </c>
      <c r="D8" s="7" t="n">
        <v>38.6</v>
      </c>
      <c r="E8" s="7" t="n">
        <v>160</v>
      </c>
      <c r="F8" s="7" t="n">
        <v>19</v>
      </c>
      <c r="G8" s="7" t="n">
        <v>132.4</v>
      </c>
      <c r="H8" s="7" t="n">
        <v>46.6</v>
      </c>
    </row>
    <row r="9">
      <c r="A9" s="7" t="n">
        <v>7</v>
      </c>
      <c r="B9" s="7" t="n">
        <v>90</v>
      </c>
      <c r="C9" s="7" t="n">
        <v>140.6</v>
      </c>
      <c r="D9" s="7" t="n">
        <v>50.6</v>
      </c>
      <c r="E9" s="7" t="n">
        <v>160.6</v>
      </c>
      <c r="F9" s="7" t="n">
        <v>70.59999999999999</v>
      </c>
      <c r="G9" s="7" t="n">
        <v>128.7</v>
      </c>
      <c r="H9" s="7" t="n">
        <v>38.7</v>
      </c>
    </row>
    <row r="10">
      <c r="A10" s="7" t="n">
        <v>8</v>
      </c>
      <c r="B10" s="7" t="n">
        <v>174</v>
      </c>
      <c r="C10" s="7" t="n">
        <v>152.4</v>
      </c>
      <c r="D10" s="7" t="n">
        <v>21.6</v>
      </c>
      <c r="E10" s="7" t="n">
        <v>174.4</v>
      </c>
      <c r="F10" s="7" t="n">
        <v>0.4</v>
      </c>
      <c r="G10" s="7" t="n">
        <v>222.5</v>
      </c>
      <c r="H10" s="7" t="n">
        <v>48.5</v>
      </c>
    </row>
    <row r="11">
      <c r="A11" s="7" t="n">
        <v>9</v>
      </c>
      <c r="B11" s="7" t="n">
        <v>133</v>
      </c>
      <c r="C11" s="7" t="n">
        <v>143.3</v>
      </c>
      <c r="D11" s="7" t="n">
        <v>10.3</v>
      </c>
      <c r="E11" s="7" t="n">
        <v>161.1</v>
      </c>
      <c r="F11" s="7" t="n">
        <v>28.1</v>
      </c>
      <c r="G11" s="7" t="n">
        <v>150.3</v>
      </c>
      <c r="H11" s="7" t="n">
        <v>17.3</v>
      </c>
    </row>
    <row r="12">
      <c r="A12" s="7" t="n">
        <v>10</v>
      </c>
      <c r="B12" s="7" t="n">
        <v>145</v>
      </c>
      <c r="C12" s="7" t="n">
        <v>149.5</v>
      </c>
      <c r="D12" s="7" t="n">
        <v>4.5</v>
      </c>
      <c r="E12" s="7" t="n">
        <v>161.3</v>
      </c>
      <c r="F12" s="7" t="n">
        <v>16.3</v>
      </c>
      <c r="G12" s="7" t="n">
        <v>162.9</v>
      </c>
      <c r="H12" s="7" t="n">
        <v>17.9</v>
      </c>
    </row>
    <row r="13">
      <c r="A13" s="7" t="n">
        <v>11</v>
      </c>
      <c r="B13" s="7" t="n">
        <v>241</v>
      </c>
      <c r="C13" s="7" t="n">
        <v>146.7</v>
      </c>
      <c r="D13" s="7" t="n">
        <v>94.3</v>
      </c>
      <c r="E13" s="7" t="n">
        <v>161.8</v>
      </c>
      <c r="F13" s="7" t="n">
        <v>79.2</v>
      </c>
      <c r="G13" s="7" t="n">
        <v>180.2</v>
      </c>
      <c r="H13" s="7" t="n">
        <v>60.8</v>
      </c>
    </row>
    <row r="14">
      <c r="A14" s="7" t="n">
        <v>12</v>
      </c>
      <c r="B14" s="7" t="n">
        <v>171</v>
      </c>
      <c r="C14" s="7" t="n">
        <v>137.1</v>
      </c>
      <c r="D14" s="7" t="n">
        <v>33.9</v>
      </c>
      <c r="E14" s="7" t="n">
        <v>161.4</v>
      </c>
      <c r="F14" s="7" t="n">
        <v>9.6</v>
      </c>
      <c r="G14" s="7" t="n">
        <v>143.1</v>
      </c>
      <c r="H14" s="7" t="n">
        <v>27.9</v>
      </c>
    </row>
    <row r="15">
      <c r="A15" s="7" t="n">
        <v>13</v>
      </c>
      <c r="B15" s="7" t="n">
        <v>74</v>
      </c>
      <c r="C15" s="7" t="n">
        <v>135.4</v>
      </c>
      <c r="D15" s="7" t="n">
        <v>61.4</v>
      </c>
      <c r="E15" s="7" t="n">
        <v>160.3</v>
      </c>
      <c r="F15" s="7" t="n">
        <v>86.3</v>
      </c>
      <c r="G15" s="7" t="n">
        <v>125.9</v>
      </c>
      <c r="H15" s="7" t="n">
        <v>51.9</v>
      </c>
    </row>
    <row r="16">
      <c r="A16" s="7" t="n">
        <v>14</v>
      </c>
      <c r="B16" s="7" t="n">
        <v>84</v>
      </c>
      <c r="C16" s="7" t="n">
        <v>131.7</v>
      </c>
      <c r="D16" s="7" t="n">
        <v>47.7</v>
      </c>
      <c r="E16" s="7" t="n">
        <v>160.4</v>
      </c>
      <c r="F16" s="7" t="n">
        <v>76.40000000000001</v>
      </c>
      <c r="G16" s="7" t="n">
        <v>132.5</v>
      </c>
      <c r="H16" s="7" t="n">
        <v>48.5</v>
      </c>
    </row>
    <row r="17"/>
    <row r="18">
      <c r="A18" s="8" t="inlineStr">
        <is>
          <t>WMAPE ★</t>
        </is>
      </c>
      <c r="C18" s="9" t="inlineStr">
        <is>
          <t>29.08%</t>
        </is>
      </c>
      <c r="E18" s="9" t="inlineStr">
        <is>
          <t>30.6%</t>
        </is>
      </c>
      <c r="G18" s="9" t="inlineStr">
        <is>
          <t>28.26%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35" customWidth="1" min="3" max="3"/>
    <col width="42" customWidth="1" min="4" max="4"/>
    <col width="18" customWidth="1" min="5" max="5"/>
    <col width="22" customWidth="1" min="6" max="6"/>
  </cols>
  <sheetData>
    <row r="1">
      <c r="A1" s="10" t="inlineStr">
        <is>
          <t>MAPE &amp; WMAPE — Step-by-Step Calculation</t>
        </is>
      </c>
    </row>
    <row r="2">
      <c r="A2" s="2" t="inlineStr"/>
    </row>
    <row r="3">
      <c r="A3" s="2" t="inlineStr">
        <is>
          <t>Example: 5 days of order data</t>
        </is>
      </c>
    </row>
    <row r="4">
      <c r="A4" s="11" t="inlineStr">
        <is>
          <t>Day</t>
        </is>
      </c>
      <c r="B4" s="11" t="inlineStr">
        <is>
          <t>Actual</t>
        </is>
      </c>
      <c r="C4" s="11" t="inlineStr">
        <is>
          <t>Predicted</t>
        </is>
      </c>
      <c r="D4" s="11" t="inlineStr">
        <is>
          <t>Abs Error</t>
        </is>
      </c>
      <c r="E4" s="11" t="inlineStr">
        <is>
          <t>APE (for MAPE)</t>
        </is>
      </c>
      <c r="F4" s="11" t="inlineStr">
        <is>
          <t>Weight (for WMAPE)</t>
        </is>
      </c>
    </row>
    <row r="5">
      <c r="A5" s="2" t="n">
        <v>1</v>
      </c>
      <c r="B5" s="2" t="n">
        <v>5</v>
      </c>
      <c r="C5" s="2" t="n">
        <v>4</v>
      </c>
      <c r="D5" s="2">
        <f>ABS(B5-C5)</f>
        <v/>
      </c>
      <c r="E5" s="2">
        <f>D5/B5</f>
        <v/>
      </c>
      <c r="F5" s="2">
        <f>B5/SUM($B$5:$B$9)</f>
        <v/>
      </c>
    </row>
    <row r="6">
      <c r="A6" s="2" t="n">
        <v>2</v>
      </c>
      <c r="B6" s="2" t="n">
        <v>100</v>
      </c>
      <c r="C6" s="2" t="n">
        <v>90</v>
      </c>
      <c r="D6" s="2">
        <f>ABS(B6-C6)</f>
        <v/>
      </c>
      <c r="E6" s="2">
        <f>D6/B6</f>
        <v/>
      </c>
      <c r="F6" s="2">
        <f>B6/SUM($B$5:$B$9)</f>
        <v/>
      </c>
    </row>
    <row r="7">
      <c r="A7" s="2" t="n">
        <v>3</v>
      </c>
      <c r="B7" s="2" t="n">
        <v>150</v>
      </c>
      <c r="C7" s="2" t="n">
        <v>160</v>
      </c>
      <c r="D7" s="2">
        <f>ABS(B7-C7)</f>
        <v/>
      </c>
      <c r="E7" s="2">
        <f>D7/B7</f>
        <v/>
      </c>
      <c r="F7" s="2">
        <f>B7/SUM($B$5:$B$9)</f>
        <v/>
      </c>
    </row>
    <row r="8">
      <c r="A8" s="2" t="n">
        <v>4</v>
      </c>
      <c r="B8" s="2" t="n">
        <v>2</v>
      </c>
      <c r="C8" s="2" t="n">
        <v>1</v>
      </c>
      <c r="D8" s="2">
        <f>ABS(B8-C8)</f>
        <v/>
      </c>
      <c r="E8" s="2">
        <f>D8/B8</f>
        <v/>
      </c>
      <c r="F8" s="2">
        <f>B8/SUM($B$5:$B$9)</f>
        <v/>
      </c>
    </row>
    <row r="9">
      <c r="A9" s="2" t="n">
        <v>5</v>
      </c>
      <c r="B9" s="2" t="n">
        <v>200</v>
      </c>
      <c r="C9" s="2" t="n">
        <v>210</v>
      </c>
      <c r="D9" s="2">
        <f>ABS(B9-C9)</f>
        <v/>
      </c>
      <c r="E9" s="2">
        <f>D9/B9</f>
        <v/>
      </c>
      <c r="F9" s="2">
        <f>B9/SUM($B$5:$B$9)</f>
        <v/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12" t="inlineStr">
        <is>
          <t>MAPE %</t>
        </is>
      </c>
      <c r="B11" s="12">
        <f>AVERAGE(E5:E9)*100</f>
        <v/>
      </c>
      <c r="C11" s="12" t="inlineStr">
        <is>
          <t>← treats each day equally</t>
        </is>
      </c>
    </row>
    <row r="12">
      <c r="A12" s="13" t="inlineStr">
        <is>
          <t>WMAPE % ★</t>
        </is>
      </c>
      <c r="B12" s="13">
        <f>SUM(D5:D9)/SUM(B5:B9)*100</f>
        <v/>
      </c>
      <c r="C12" s="13" t="inlineStr">
        <is>
          <t>← volume-weighted (MAIN METRIC)</t>
        </is>
      </c>
    </row>
    <row r="13">
      <c r="A13" s="2" t="inlineStr"/>
    </row>
    <row r="14">
      <c r="A14" s="2" t="inlineStr">
        <is>
          <t>Key Insight</t>
        </is>
      </c>
      <c r="B14" s="2" t="inlineStr">
        <is>
          <t>Day 4 (actual=2, pred=1) has APE=100%</t>
        </is>
      </c>
      <c r="C14" s="2" t="inlineStr">
        <is>
          <t>This inflates MAPE unfairly.</t>
        </is>
      </c>
      <c r="D14" s="2" t="inlineStr">
        <is>
          <t>WMAPE correctly keeps this tiny because Day4 volume is negligible.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0" t="inlineStr">
        <is>
          <t>Time Series Forecasting Pipeline — How It Works</t>
        </is>
      </c>
    </row>
    <row r="2">
      <c r="A2" s="2" t="inlineStr"/>
    </row>
    <row r="3">
      <c r="A3" s="11" t="inlineStr">
        <is>
          <t>STEP</t>
        </is>
      </c>
      <c r="B3" s="11" t="inlineStr">
        <is>
          <t>Action</t>
        </is>
      </c>
      <c r="C3" s="11" t="inlineStr">
        <is>
          <t>TimesFM</t>
        </is>
      </c>
      <c r="D3" s="11" t="inlineStr">
        <is>
          <t>Chronos</t>
        </is>
      </c>
      <c r="E3" s="11" t="inlineStr">
        <is>
          <t>SARIMAX Baseline</t>
        </is>
      </c>
    </row>
    <row r="4">
      <c r="A4" s="2" t="inlineStr">
        <is>
          <t>1</t>
        </is>
      </c>
      <c r="B4" s="2" t="inlineStr">
        <is>
          <t>Input to model</t>
        </is>
      </c>
      <c r="C4" s="2" t="inlineStr">
        <is>
          <t>Context window: last 90 daily / 48 hourly order_qty values</t>
        </is>
      </c>
      <c r="D4" s="2" t="inlineStr">
        <is>
          <t>Same context tensor (univariate; no covariate channels natively)</t>
        </is>
      </c>
      <c r="E4" s="2" t="inlineStr">
        <is>
          <t>Lagged order_qty (lag_7, lag_14, rolling_7) + all covariate columns</t>
        </is>
      </c>
    </row>
    <row r="5">
      <c r="A5" s="2" t="inlineStr">
        <is>
          <t>2</t>
        </is>
      </c>
      <c r="B5" s="2" t="inlineStr">
        <is>
          <t>Covariates</t>
        </is>
      </c>
      <c r="C5" s="2" t="inlineStr">
        <is>
          <t>9 channels fed alongside target: promotion, holiday, is_weekend, sin/cos(day_of_week), sin/cos(month), temperature_c, rainfall_mm</t>
        </is>
      </c>
      <c r="D5" s="2" t="inlineStr">
        <is>
          <t>Applied POST-HOC as multiplicative lift: promo_lift × holiday_lift</t>
        </is>
      </c>
      <c r="E5" s="2" t="inlineStr">
        <is>
          <t>All 9 covariates as exogenous regressors (learned coefficients)</t>
        </is>
      </c>
    </row>
    <row r="6">
      <c r="A6" s="2" t="inlineStr">
        <is>
          <t>3</t>
        </is>
      </c>
      <c r="B6" s="2" t="inlineStr">
        <is>
          <t>Model internals</t>
        </is>
      </c>
      <c r="C6" s="2" t="inlineStr">
        <is>
          <t>Patch-based decoder-only transformer (GPT-style). Pre-trained on 100B points. Patches context → embeddings → forecast.</t>
        </is>
      </c>
      <c r="D6" s="2" t="inlineStr">
        <is>
          <t>T5 encoder-decoder. Tokenises values → discrete tokens. Draws 100 sample trajectories → median = point forecast.</t>
        </is>
      </c>
      <c r="E6" s="2" t="inlineStr">
        <is>
          <t>Ridge regression (or SARIMAX) with seasonal dummies and lag features.</t>
        </is>
      </c>
    </row>
    <row r="7">
      <c r="A7" s="2" t="inlineStr">
        <is>
          <t>4</t>
        </is>
      </c>
      <c r="B7" s="2" t="inlineStr">
        <is>
          <t>Output</t>
        </is>
      </c>
      <c r="C7" s="2" t="inlineStr">
        <is>
          <t>Point forecast + optional quantile intervals. Blended 70% base / 30% covariate correction layer.</t>
        </is>
      </c>
      <c r="D7" s="2" t="inlineStr">
        <is>
          <t>Median of 100 sample trajectories.</t>
        </is>
      </c>
      <c r="E7" s="2" t="inlineStr">
        <is>
          <t>Predicted order quantities for next horizon steps.</t>
        </is>
      </c>
    </row>
    <row r="8">
      <c r="A8" s="2" t="inlineStr">
        <is>
          <t>5</t>
        </is>
      </c>
      <c r="B8" s="2" t="inlineStr">
        <is>
          <t>Metrics (both levels)</t>
        </is>
      </c>
      <c r="C8" s="2" t="inlineStr">
        <is>
          <t>WMAPE ★ (main) + MAPE, MAE, RMSE</t>
        </is>
      </c>
      <c r="D8" s="2" t="inlineStr">
        <is>
          <t>Same</t>
        </is>
      </c>
      <c r="E8" s="2" t="inlineStr">
        <is>
          <t>Same</t>
        </is>
      </c>
    </row>
    <row r="9">
      <c r="A9" s="2" t="inlineStr"/>
    </row>
    <row r="10">
      <c r="A10" s="14" t="inlineStr">
        <is>
          <t>COVARIATE TYPES</t>
        </is>
      </c>
      <c r="B10" s="14" t="inlineStr">
        <is>
          <t>Column(s)</t>
        </is>
      </c>
      <c r="C10" s="14" t="inlineStr">
        <is>
          <t>Description</t>
        </is>
      </c>
      <c r="D10" s="14" t="inlineStr">
        <is>
          <t>Available for future dates?</t>
        </is>
      </c>
      <c r="E10" s="14" t="inlineStr"/>
    </row>
    <row r="11">
      <c r="A11" s="2" t="inlineStr">
        <is>
          <t>Known</t>
        </is>
      </c>
      <c r="B11" s="2" t="inlineStr">
        <is>
          <t>promotion, holiday, price</t>
        </is>
      </c>
      <c r="C11" s="2" t="inlineStr">
        <is>
          <t>Marketing calendar / price list</t>
        </is>
      </c>
      <c r="D11" s="2" t="inlineStr">
        <is>
          <t>Yes — plan ahead</t>
        </is>
      </c>
      <c r="E11" s="2" t="inlineStr"/>
    </row>
    <row r="12">
      <c r="A12" s="2" t="inlineStr">
        <is>
          <t>Calendar</t>
        </is>
      </c>
      <c r="B12" s="2" t="inlineStr">
        <is>
          <t>day_of_week, month, hour, is_weekend</t>
        </is>
      </c>
      <c r="C12" s="2" t="inlineStr">
        <is>
          <t>Derived automatically from timestamp</t>
        </is>
      </c>
      <c r="D12" s="2" t="inlineStr">
        <is>
          <t>Yes — always known</t>
        </is>
      </c>
      <c r="E12" s="2" t="inlineStr"/>
    </row>
    <row r="13">
      <c r="A13" s="2" t="inlineStr">
        <is>
          <t>External</t>
        </is>
      </c>
      <c r="B13" s="2" t="inlineStr">
        <is>
          <t>temperature_c, rainfall_mm</t>
        </is>
      </c>
      <c r="C13" s="2" t="inlineStr">
        <is>
          <t>Weather data</t>
        </is>
      </c>
      <c r="D13" s="2" t="inlineStr">
        <is>
          <t>Use weather forecast / climatology</t>
        </is>
      </c>
      <c r="E13" s="2" t="inlineStr"/>
    </row>
    <row r="14">
      <c r="A14" s="2" t="inlineStr"/>
    </row>
    <row r="15">
      <c r="A15" s="14" t="inlineStr">
        <is>
          <t>WHY WMAPE IS THE MAIN METRIC</t>
        </is>
      </c>
      <c r="B15" s="14" t="inlineStr"/>
      <c r="C15" s="14" t="inlineStr"/>
      <c r="D15" s="14" t="inlineStr"/>
      <c r="E15" s="14" t="inlineStr"/>
    </row>
    <row r="16">
      <c r="A16" s="2" t="inlineStr">
        <is>
          <t>Formula</t>
        </is>
      </c>
      <c r="B16" s="2" t="inlineStr">
        <is>
          <t>Σ|actual−predicted| / Σactual × 100</t>
        </is>
      </c>
      <c r="C16" s="2" t="inlineStr"/>
      <c r="D16" s="2" t="inlineStr"/>
      <c r="E16" s="2" t="inlineStr"/>
    </row>
    <row r="17">
      <c r="A17" s="2" t="inlineStr">
        <is>
          <t>1.</t>
        </is>
      </c>
      <c r="B17" s="2" t="inlineStr">
        <is>
          <t>Numerator = total absolute mis-forecast units</t>
        </is>
      </c>
      <c r="C17" s="2" t="inlineStr"/>
      <c r="D17" s="2" t="inlineStr"/>
      <c r="E17" s="2" t="inlineStr"/>
    </row>
    <row r="18">
      <c r="A18" s="2" t="inlineStr">
        <is>
          <t>2.</t>
        </is>
      </c>
      <c r="B18" s="2" t="inlineStr">
        <is>
          <t>Denominator = total demand → normalises by volume</t>
        </is>
      </c>
      <c r="C18" s="2" t="inlineStr"/>
      <c r="D18" s="2" t="inlineStr"/>
      <c r="E18" s="2" t="inlineStr"/>
    </row>
    <row r="19">
      <c r="A19" s="2" t="inlineStr">
        <is>
          <t>3.</t>
        </is>
      </c>
      <c r="B19" s="2" t="inlineStr">
        <is>
          <t>Zero-demand days do NOT cause undefined/infinite errors</t>
        </is>
      </c>
      <c r="C19" s="2" t="inlineStr"/>
      <c r="D19" s="2" t="inlineStr"/>
      <c r="E19" s="2" t="inlineStr"/>
    </row>
    <row r="20">
      <c r="A20" s="2" t="inlineStr">
        <is>
          <t>4.</t>
        </is>
      </c>
      <c r="B20" s="2" t="inlineStr">
        <is>
          <t>High-volume days contribute more — aligned with business impact</t>
        </is>
      </c>
      <c r="C20" s="2" t="inlineStr"/>
      <c r="D20" s="2" t="inlineStr"/>
      <c r="E20" s="2" t="inlineStr"/>
    </row>
    <row r="21">
      <c r="A21" s="2" t="inlineStr">
        <is>
          <t>5.</t>
        </is>
      </c>
      <c r="B21" s="2" t="inlineStr">
        <is>
          <t>Standard metric in FMCG, retail, supply-chain forecasting</t>
        </is>
      </c>
      <c r="C21" s="2" t="inlineStr"/>
      <c r="D21" s="2" t="inlineStr"/>
      <c r="E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2026-05-16T09:07:18Z</dcterms:created>
  <dcterms:modified xsi:type="dcterms:W3CDTF">2026-05-16T09:07:19Z</dcterms:modified>
</cp:coreProperties>
</file>